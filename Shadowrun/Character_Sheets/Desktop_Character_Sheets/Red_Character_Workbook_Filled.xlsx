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4591b1d50d9157/Desktop/RPG/Shadowrun 3e/"/>
    </mc:Choice>
  </mc:AlternateContent>
  <xr:revisionPtr revIDLastSave="4" documentId="11_A04BFF9F0D159E6931903347C531694006FE3300" xr6:coauthVersionLast="47" xr6:coauthVersionMax="47" xr10:uidLastSave="{E5B528EC-490B-4FD5-8370-A2550A8C472F}"/>
  <bookViews>
    <workbookView xWindow="-110" yWindow="-110" windowWidth="25820" windowHeight="15500" activeTab="1" xr2:uid="{00000000-000D-0000-FFFF-FFFF00000000}"/>
  </bookViews>
  <sheets>
    <sheet name="Core" sheetId="1" r:id="rId1"/>
    <sheet name="Gear &amp; Contacts" sheetId="2" r:id="rId2"/>
    <sheet name="Sources &amp; Notes" sheetId="3" r:id="rId3"/>
  </sheets>
  <definedNames>
    <definedName name="_xlnm.Print_Area" localSheetId="0">Core!$A$1:$R$69</definedName>
    <definedName name="_xlnm.Print_Area" localSheetId="1">'Gear &amp; Contacts'!$D$1:$H$13</definedName>
    <definedName name="_xlnm.Print_Area" localSheetId="2">'Sources &amp; Notes'!$A$1:$B$10</definedName>
    <definedName name="_xlnm.Print_Titles" localSheetId="0">Core!$1:$4</definedName>
    <definedName name="_xlnm.Print_Titles" localSheetId="1">'Gear &amp; Contacts'!$1:$4</definedName>
    <definedName name="_xlnm.Print_Titles" localSheetId="2">'Sources &amp; Notes'!$1:$4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H14" i="1" s="1"/>
  <c r="D18" i="1"/>
  <c r="D17" i="1"/>
  <c r="H16" i="1"/>
  <c r="D16" i="1"/>
  <c r="H15" i="1"/>
  <c r="D15" i="1"/>
  <c r="L14" i="1"/>
  <c r="D14" i="1"/>
  <c r="H13" i="1"/>
  <c r="D13" i="1"/>
  <c r="L12" i="1"/>
  <c r="L13" i="1" s="1"/>
  <c r="L15" i="1" s="1"/>
  <c r="H12" i="1"/>
  <c r="D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Combat Pool = (Quickness + Intelligence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Reaction = average of Intelligence and Quickness, rounded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Astral Pool = (Intelligence + Charisma + Willpower) / 2,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Spell Pool = (Intelligence + Willpower + Magic) / 3, round down. SR3 errata corrects the sample character example.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4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H1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Hacking Pool = (Intelligence + MPCP) / 3, round down.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  <comment ref="L15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Display helper: base initiative shown as Base + xD6. The workbook does not roll dice automatically.</t>
        </r>
      </text>
    </comment>
    <comment ref="H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Control Pool = Reaction + VCR.
SR3 formulas referenced from:
1) https://ruscumag.wordpress.com/wp-content/uploads/2009/01/shadowrun_iii_summary.pdf
2) https://saveorquit.com/2021/11/27/review-shadowrun-3rd-edition-physical-game/
3) https://www.nullsheen.com/posts/erratasr3/</t>
        </r>
      </text>
    </comment>
  </commentList>
</comments>
</file>

<file path=xl/sharedStrings.xml><?xml version="1.0" encoding="utf-8"?>
<sst xmlns="http://schemas.openxmlformats.org/spreadsheetml/2006/main" count="196" uniqueCount="163">
  <si>
    <t>Shadowrun Character Sheet Workbook (SR3 Native Excel)</t>
  </si>
  <si>
    <t>Character Information</t>
  </si>
  <si>
    <t>Name</t>
  </si>
  <si>
    <t>Alias</t>
  </si>
  <si>
    <t>Metatype</t>
  </si>
  <si>
    <t>RED</t>
  </si>
  <si>
    <t>HUMAN</t>
  </si>
  <si>
    <t>Age</t>
  </si>
  <si>
    <t>Sex</t>
  </si>
  <si>
    <t>M</t>
  </si>
  <si>
    <t>Core Stats</t>
  </si>
  <si>
    <t>Attributes</t>
  </si>
  <si>
    <t>Dice Pools</t>
  </si>
  <si>
    <t>Initiative &amp; Movement</t>
  </si>
  <si>
    <t>Helper Inputs</t>
  </si>
  <si>
    <t>Attribute</t>
  </si>
  <si>
    <t>Base</t>
  </si>
  <si>
    <t>Mod</t>
  </si>
  <si>
    <t>Total</t>
  </si>
  <si>
    <t>Pool</t>
  </si>
  <si>
    <t>Formula</t>
  </si>
  <si>
    <t>Result</t>
  </si>
  <si>
    <t>Item</t>
  </si>
  <si>
    <t>Value</t>
  </si>
  <si>
    <t>Input</t>
  </si>
  <si>
    <t>Used In</t>
  </si>
  <si>
    <t>Body</t>
  </si>
  <si>
    <t>Combat Pool</t>
  </si>
  <si>
    <t>(Quick+Int+Will)/2</t>
  </si>
  <si>
    <t>Reaction</t>
  </si>
  <si>
    <t>Walk</t>
  </si>
  <si>
    <t>MPCP</t>
  </si>
  <si>
    <t>Hacking Pool</t>
  </si>
  <si>
    <t>Quickness</t>
  </si>
  <si>
    <t>Astral Pool</t>
  </si>
  <si>
    <t>(Int+Cha+Will)/2</t>
  </si>
  <si>
    <t>Phys Init Base</t>
  </si>
  <si>
    <t>Run</t>
  </si>
  <si>
    <t>VCR Rating</t>
  </si>
  <si>
    <t>Control Pool</t>
  </si>
  <si>
    <t>Strength</t>
  </si>
  <si>
    <t>Spell Pool</t>
  </si>
  <si>
    <t>(Int+Will+Mag)/3</t>
  </si>
  <si>
    <t>Phys Init Dice</t>
  </si>
  <si>
    <t>Sprint</t>
  </si>
  <si>
    <t>Phys Init Mod</t>
  </si>
  <si>
    <t>Initiative</t>
  </si>
  <si>
    <t>Charisma</t>
  </si>
  <si>
    <t>(Int+MPCP)/3</t>
  </si>
  <si>
    <t>Phys Init Display</t>
  </si>
  <si>
    <t>Armor</t>
  </si>
  <si>
    <t>Armor Jacket</t>
  </si>
  <si>
    <t>Phys Init Dice Bonus</t>
  </si>
  <si>
    <t>Intelligence</t>
  </si>
  <si>
    <t>Reaction+VCR</t>
  </si>
  <si>
    <t>Ballistic</t>
  </si>
  <si>
    <t>Willpower</t>
  </si>
  <si>
    <t>Impact</t>
  </si>
  <si>
    <t>Essence</t>
  </si>
  <si>
    <t>Magic</t>
  </si>
  <si>
    <t>Condition Monitors</t>
  </si>
  <si>
    <t>Stun</t>
  </si>
  <si>
    <t>L</t>
  </si>
  <si>
    <t>S</t>
  </si>
  <si>
    <t>D</t>
  </si>
  <si>
    <t xml:space="preserve"> -4/Unc</t>
  </si>
  <si>
    <t>Physical</t>
  </si>
  <si>
    <t xml:space="preserve"> -4 Unc/Dead</t>
  </si>
  <si>
    <t>Overflow</t>
  </si>
  <si>
    <t>Skills</t>
  </si>
  <si>
    <t>Weapons</t>
  </si>
  <si>
    <t>Active Skills</t>
  </si>
  <si>
    <t>Knowledge Skills</t>
  </si>
  <si>
    <t>Weapon Table</t>
  </si>
  <si>
    <t>Skill</t>
  </si>
  <si>
    <t>Rating</t>
  </si>
  <si>
    <t>Weapon</t>
  </si>
  <si>
    <t>Type/Mode</t>
  </si>
  <si>
    <t>Conceal</t>
  </si>
  <si>
    <t>Damage</t>
  </si>
  <si>
    <t>Range</t>
  </si>
  <si>
    <t>Ammo</t>
  </si>
  <si>
    <t>PISTOLS</t>
  </si>
  <si>
    <t>CRIMINAL ORGANIZATIONS</t>
  </si>
  <si>
    <t>STONER-ARES M107</t>
  </si>
  <si>
    <t>HMG</t>
  </si>
  <si>
    <t>-</t>
  </si>
  <si>
    <t>10D</t>
  </si>
  <si>
    <t>belt</t>
  </si>
  <si>
    <t>SHOTGUNS</t>
  </si>
  <si>
    <t>LOCAL NEIGHBORHOOD</t>
  </si>
  <si>
    <t>GRENADE LAUNCHER</t>
  </si>
  <si>
    <t>GL</t>
  </si>
  <si>
    <t>var</t>
  </si>
  <si>
    <t>6</t>
  </si>
  <si>
    <t>ASSAULT RIFLES</t>
  </si>
  <si>
    <t>REDMOND</t>
  </si>
  <si>
    <t>RUGER SUPER WARHAWK</t>
  </si>
  <si>
    <t>HP</t>
  </si>
  <si>
    <t>SS</t>
  </si>
  <si>
    <t>10M</t>
  </si>
  <si>
    <t>6(c)</t>
  </si>
  <si>
    <t>LAUNCH WEAPONS</t>
  </si>
  <si>
    <t>MAFIA ESTABLISHMENTS</t>
  </si>
  <si>
    <t>KATANA</t>
  </si>
  <si>
    <t>EDGED</t>
  </si>
  <si>
    <t>STR+3M</t>
  </si>
  <si>
    <t>Reach 1</t>
  </si>
  <si>
    <t>EDGED WEAPONS</t>
  </si>
  <si>
    <t>GANG TURF</t>
  </si>
  <si>
    <t>ATHLETICS</t>
  </si>
  <si>
    <t>UNDERWORLD POLITICS</t>
  </si>
  <si>
    <t>STEALTH</t>
  </si>
  <si>
    <t>THROWING WEAPONS</t>
  </si>
  <si>
    <t>ETIQUETTE</t>
  </si>
  <si>
    <t>NEGOTIATION</t>
  </si>
  <si>
    <t>LEADERSHIP</t>
  </si>
  <si>
    <t>Language Skills</t>
  </si>
  <si>
    <t>ENGLISH</t>
  </si>
  <si>
    <t>RUSSIAN</t>
  </si>
  <si>
    <t>Contacts</t>
  </si>
  <si>
    <t>Gear</t>
  </si>
  <si>
    <t>Gear Table</t>
  </si>
  <si>
    <t>Type</t>
  </si>
  <si>
    <t>Specialty/Notes</t>
  </si>
  <si>
    <t>Level</t>
  </si>
  <si>
    <t>Weight</t>
  </si>
  <si>
    <t>Notes</t>
  </si>
  <si>
    <t>Quantity</t>
  </si>
  <si>
    <t>WIRED REFLEXES</t>
  </si>
  <si>
    <t>Level 2</t>
  </si>
  <si>
    <t>SKILLWIRES</t>
  </si>
  <si>
    <t>SMARTLINK</t>
  </si>
  <si>
    <t>-2 TN</t>
  </si>
  <si>
    <t>CYBER EYES</t>
  </si>
  <si>
    <t>Thermo/LL/Flare/Display</t>
  </si>
  <si>
    <t>DERMAL PLATING</t>
  </si>
  <si>
    <t>+2 Body</t>
  </si>
  <si>
    <t>DOCWAGON PLATINUM</t>
  </si>
  <si>
    <t>Contract</t>
  </si>
  <si>
    <t>GRAPPLE GUN</t>
  </si>
  <si>
    <t>Mobility</t>
  </si>
  <si>
    <t>HMG / Grenade Launcher</t>
  </si>
  <si>
    <t>Heavy firepower</t>
  </si>
  <si>
    <t>Ruger Super Warhawk</t>
  </si>
  <si>
    <t>Sidearm</t>
  </si>
  <si>
    <t>Connection</t>
  </si>
  <si>
    <t>Loyalty</t>
  </si>
  <si>
    <t>Katana</t>
  </si>
  <si>
    <t>Close combat</t>
  </si>
  <si>
    <t>Protection</t>
  </si>
  <si>
    <t>Source</t>
  </si>
  <si>
    <t>Red character sheet</t>
  </si>
  <si>
    <t>Fully populated Red with combat profile, cyberware, network, and edged weapons 3.</t>
  </si>
  <si>
    <t>https://saveorquit.com/2021/11/27/review-shadowrun-3rd-edition-physical-game/</t>
  </si>
  <si>
    <t>Used for the Reaction/initiative summary: Reaction is average of Intelligence and Quickness, rounded down; initiative adds 1D6 for unaugmented characters.</t>
  </si>
  <si>
    <t>https://www.nullsheen.com/posts/erratasr3/</t>
  </si>
  <si>
    <t>Used for SR3 errata confirming the Spell Pool sample correction and Language Skills note.</t>
  </si>
  <si>
    <t>Workbook notes</t>
  </si>
  <si>
    <t>Cells in Core!B12:C19 are the primary attribute inputs.</t>
  </si>
  <si>
    <t>Core!Q12:Q15 are helper inputs for MPCP, VCR, and initiative modifiers.</t>
  </si>
  <si>
    <t>Initiative display shows Base + xD6 rather than a random roll.</t>
  </si>
  <si>
    <t>The workbook is structured as an Excel-native sheet rather than a pixel-perfect PDF replica.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</si>
</sst>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27313A"/>
      <name val="Calibri"/>
    </font>
    <font>
      <sz val="9"/>
      <color rgb="FF27313A"/>
      <name val="Calibri"/>
    </font>
    <font>
      <b/>
      <sz val="9"/>
      <color rgb="FF27313A"/>
      <name val="Calibri"/>
    </font>
    <font>
      <b/>
      <sz val="14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27313A"/>
      <name val="Calibri"/>
      <family val="2"/>
    </font>
    <font>
      <sz val="14"/>
      <color rgb="FF27313A"/>
      <name val="Calibri"/>
      <family val="2"/>
    </font>
    <font>
      <sz val="12"/>
      <color theme="1"/>
      <name val="Calibri"/>
      <family val="2"/>
      <scheme val="minor"/>
    </font>
    <font>
      <sz val="11"/>
      <color rgb="FF27313A"/>
      <name val="Calibri"/>
      <family val="2"/>
    </font>
    <font>
      <sz val="12"/>
      <color rgb="FF27313A"/>
      <name val="Calibri"/>
      <family val="2"/>
    </font>
    <font>
      <sz val="8"/>
      <color rgb="FF27313A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27313A"/>
      <name val="Calibri"/>
      <family val="2"/>
    </font>
    <font>
      <b/>
      <sz val="12"/>
      <color rgb="FF27313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7313A"/>
      </patternFill>
    </fill>
    <fill>
      <patternFill patternType="solid">
        <fgColor rgb="FFEEF2F5"/>
      </patternFill>
    </fill>
  </fills>
  <borders count="28">
    <border>
      <left/>
      <right/>
      <top/>
      <bottom/>
      <diagonal/>
    </border>
    <border>
      <left style="thin">
        <color rgb="FF8B97A3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/>
      <right/>
      <top style="thin">
        <color rgb="FF8B97A3"/>
      </top>
      <bottom style="thin">
        <color rgb="FF8B97A3"/>
      </bottom>
      <diagonal/>
    </border>
    <border>
      <left/>
      <right style="thin">
        <color rgb="FF8B97A3"/>
      </right>
      <top style="thin">
        <color rgb="FF8B97A3"/>
      </top>
      <bottom style="thin">
        <color rgb="FF8B97A3"/>
      </bottom>
      <diagonal/>
    </border>
    <border>
      <left/>
      <right/>
      <top/>
      <bottom style="thin">
        <color rgb="FF8B97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8B97A3"/>
      </left>
      <right style="thin">
        <color rgb="FF8B97A3"/>
      </right>
      <top style="thin">
        <color rgb="FF8B97A3"/>
      </top>
      <bottom/>
      <diagonal/>
    </border>
    <border>
      <left style="thin">
        <color indexed="64"/>
      </left>
      <right style="thin">
        <color rgb="FF8B97A3"/>
      </right>
      <top style="thin">
        <color rgb="FF8B97A3"/>
      </top>
      <bottom style="thin">
        <color rgb="FF8B97A3"/>
      </bottom>
      <diagonal/>
    </border>
    <border>
      <left style="thin">
        <color indexed="64"/>
      </left>
      <right/>
      <top/>
      <bottom style="thin">
        <color rgb="FF8B97A3"/>
      </bottom>
      <diagonal/>
    </border>
    <border>
      <left/>
      <right style="thin">
        <color indexed="64"/>
      </right>
      <top/>
      <bottom style="thin">
        <color rgb="FF8B97A3"/>
      </bottom>
      <diagonal/>
    </border>
    <border>
      <left/>
      <right style="thin">
        <color indexed="64"/>
      </right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 style="thin">
        <color indexed="64"/>
      </bottom>
      <diagonal/>
    </border>
    <border>
      <left/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/>
      <diagonal/>
    </border>
    <border>
      <left style="thin">
        <color indexed="64"/>
      </left>
      <right/>
      <top style="thin">
        <color rgb="FF8B97A3"/>
      </top>
      <bottom style="thin">
        <color rgb="FF8B97A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0" borderId="0" xfId="0" applyFont="1"/>
    <xf numFmtId="1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1" fillId="0" borderId="2" xfId="0" applyFont="1" applyBorder="1"/>
    <xf numFmtId="0" fontId="3" fillId="0" borderId="0" xfId="0" applyFont="1" applyAlignment="1">
      <alignment horizontal="center"/>
    </xf>
    <xf numFmtId="0" fontId="10" fillId="0" borderId="5" xfId="0" applyFont="1" applyBorder="1"/>
    <xf numFmtId="0" fontId="10" fillId="0" borderId="6" xfId="0" applyFont="1" applyBorder="1"/>
    <xf numFmtId="0" fontId="0" fillId="0" borderId="6" xfId="0" applyBorder="1"/>
    <xf numFmtId="0" fontId="0" fillId="0" borderId="16" xfId="0" applyBorder="1"/>
    <xf numFmtId="0" fontId="12" fillId="0" borderId="8" xfId="0" applyFont="1" applyBorder="1"/>
    <xf numFmtId="0" fontId="5" fillId="0" borderId="14" xfId="0" applyFont="1" applyBorder="1"/>
    <xf numFmtId="0" fontId="0" fillId="0" borderId="15" xfId="0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0" fillId="0" borderId="14" xfId="0" applyBorder="1"/>
    <xf numFmtId="0" fontId="12" fillId="0" borderId="9" xfId="0" applyFont="1" applyBorder="1"/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/>
    <xf numFmtId="0" fontId="10" fillId="0" borderId="20" xfId="0" applyFont="1" applyBorder="1"/>
    <xf numFmtId="0" fontId="3" fillId="0" borderId="15" xfId="0" applyFont="1" applyBorder="1" applyAlignment="1">
      <alignment horizontal="center"/>
    </xf>
    <xf numFmtId="0" fontId="4" fillId="2" borderId="14" xfId="0" applyFont="1" applyFill="1" applyBorder="1"/>
    <xf numFmtId="0" fontId="4" fillId="2" borderId="0" xfId="0" applyFont="1" applyFill="1"/>
    <xf numFmtId="0" fontId="4" fillId="2" borderId="15" xfId="0" applyFont="1" applyFill="1" applyBorder="1"/>
    <xf numFmtId="0" fontId="10" fillId="0" borderId="22" xfId="0" applyFont="1" applyBorder="1"/>
    <xf numFmtId="0" fontId="10" fillId="0" borderId="21" xfId="0" applyFont="1" applyBorder="1"/>
    <xf numFmtId="0" fontId="0" fillId="0" borderId="13" xfId="0" applyBorder="1"/>
    <xf numFmtId="0" fontId="14" fillId="0" borderId="0" xfId="0" applyFont="1" applyAlignment="1">
      <alignment horizontal="center" vertical="center"/>
    </xf>
    <xf numFmtId="0" fontId="13" fillId="0" borderId="15" xfId="0" applyFont="1" applyBorder="1"/>
    <xf numFmtId="0" fontId="13" fillId="0" borderId="0" xfId="0" applyFont="1"/>
    <xf numFmtId="0" fontId="10" fillId="0" borderId="6" xfId="0" applyFont="1" applyBorder="1" applyAlignment="1">
      <alignment wrapText="1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0" fillId="0" borderId="5" xfId="0" applyFont="1" applyBorder="1" applyAlignment="1">
      <alignment horizontal="center"/>
    </xf>
    <xf numFmtId="0" fontId="0" fillId="0" borderId="5" xfId="0" applyBorder="1"/>
    <xf numFmtId="0" fontId="0" fillId="0" borderId="16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6" xfId="0" applyBorder="1" applyAlignment="1">
      <alignment horizontal="center"/>
    </xf>
    <xf numFmtId="0" fontId="0" fillId="0" borderId="10" xfId="0" applyBorder="1"/>
    <xf numFmtId="0" fontId="14" fillId="3" borderId="26" xfId="0" applyFont="1" applyFill="1" applyBorder="1" applyAlignment="1">
      <alignment horizontal="center" vertical="center"/>
    </xf>
    <xf numFmtId="0" fontId="0" fillId="0" borderId="0" xfId="0"/>
    <xf numFmtId="0" fontId="0" fillId="0" borderId="15" xfId="0" applyBorder="1"/>
    <xf numFmtId="0" fontId="3" fillId="0" borderId="0" xfId="0" applyFont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0" fillId="0" borderId="11" xfId="0" applyBorder="1"/>
    <xf numFmtId="0" fontId="10" fillId="0" borderId="19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6" xfId="0" applyBorder="1" applyAlignment="1">
      <alignment wrapText="1"/>
    </xf>
    <xf numFmtId="0" fontId="5" fillId="0" borderId="5" xfId="0" applyFont="1" applyBorder="1"/>
    <xf numFmtId="0" fontId="3" fillId="0" borderId="24" xfId="0" applyFont="1" applyBorder="1" applyAlignment="1">
      <alignment horizontal="center"/>
    </xf>
    <xf numFmtId="0" fontId="0" fillId="0" borderId="23" xfId="0" applyBorder="1"/>
    <xf numFmtId="0" fontId="4" fillId="2" borderId="0" xfId="0" applyFont="1" applyFill="1" applyAlignment="1">
      <alignment horizontal="left" vertical="center"/>
    </xf>
    <xf numFmtId="0" fontId="13" fillId="0" borderId="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4" fillId="3" borderId="18" xfId="0" applyFont="1" applyFill="1" applyBorder="1" applyAlignment="1">
      <alignment horizontal="left" vertical="center"/>
    </xf>
    <xf numFmtId="0" fontId="0" fillId="0" borderId="16" xfId="0" applyBorder="1" applyAlignment="1">
      <alignment wrapText="1"/>
    </xf>
    <xf numFmtId="0" fontId="14" fillId="3" borderId="1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0" fillId="0" borderId="25" xfId="0" applyFont="1" applyBorder="1" applyAlignment="1">
      <alignment horizontal="center"/>
    </xf>
    <xf numFmtId="0" fontId="4" fillId="2" borderId="27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center" wrapText="1"/>
    </xf>
    <xf numFmtId="0" fontId="0" fillId="0" borderId="10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8"/>
  <sheetViews>
    <sheetView showGridLines="0" view="pageLayout" topLeftCell="A34" zoomScaleNormal="100" workbookViewId="0">
      <selection activeCell="A53" sqref="A53:G55"/>
    </sheetView>
  </sheetViews>
  <sheetFormatPr defaultRowHeight="14.5" x14ac:dyDescent="0.35"/>
  <cols>
    <col min="1" max="1" width="16" customWidth="1"/>
    <col min="2" max="4" width="7" customWidth="1"/>
    <col min="5" max="5" width="4" customWidth="1"/>
    <col min="6" max="6" width="16" customWidth="1"/>
    <col min="7" max="9" width="7" customWidth="1"/>
    <col min="10" max="10" width="4" customWidth="1"/>
    <col min="11" max="11" width="14" customWidth="1"/>
    <col min="12" max="12" width="7" customWidth="1"/>
    <col min="13" max="13" width="14" customWidth="1"/>
    <col min="14" max="14" width="7" customWidth="1"/>
    <col min="15" max="15" width="3" customWidth="1"/>
    <col min="16" max="16" width="18" customWidth="1"/>
    <col min="17" max="17" width="10" customWidth="1"/>
    <col min="18" max="18" width="12" customWidth="1"/>
  </cols>
  <sheetData>
    <row r="1" spans="1:18" ht="18.5" customHeight="1" x14ac:dyDescent="0.35">
      <c r="A1" s="72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 spans="1:18" ht="18.5" customHeight="1" x14ac:dyDescent="0.4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.5" customHeight="1" x14ac:dyDescent="0.35">
      <c r="A3" s="46" t="s">
        <v>1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</row>
    <row r="4" spans="1:18" ht="18.5" customHeight="1" x14ac:dyDescent="0.45">
      <c r="A4" s="8" t="s">
        <v>2</v>
      </c>
      <c r="B4" s="7"/>
      <c r="C4" s="7"/>
      <c r="D4" s="7"/>
      <c r="E4" s="7"/>
      <c r="F4" s="8" t="s">
        <v>3</v>
      </c>
      <c r="G4" s="7"/>
      <c r="H4" s="7"/>
      <c r="I4" s="7"/>
      <c r="J4" s="7"/>
      <c r="K4" s="8" t="s">
        <v>4</v>
      </c>
      <c r="L4" s="7"/>
      <c r="M4" s="7"/>
      <c r="N4" s="7"/>
      <c r="O4" s="7"/>
      <c r="P4" s="7"/>
      <c r="Q4" s="7"/>
      <c r="R4" s="7"/>
    </row>
    <row r="5" spans="1:18" ht="18.5" customHeight="1" x14ac:dyDescent="0.45">
      <c r="A5" s="69" t="s">
        <v>5</v>
      </c>
      <c r="B5" s="50"/>
      <c r="C5" s="50"/>
      <c r="D5" s="50"/>
      <c r="E5" s="7"/>
      <c r="F5" s="69" t="s">
        <v>5</v>
      </c>
      <c r="G5" s="50"/>
      <c r="H5" s="50"/>
      <c r="I5" s="50"/>
      <c r="J5" s="7"/>
      <c r="K5" s="69" t="s">
        <v>6</v>
      </c>
      <c r="L5" s="50"/>
      <c r="M5" s="50"/>
      <c r="N5" s="50"/>
      <c r="O5" s="7"/>
      <c r="P5" s="7"/>
      <c r="Q5" s="7"/>
      <c r="R5" s="7"/>
    </row>
    <row r="6" spans="1:18" ht="18.5" customHeight="1" x14ac:dyDescent="0.45">
      <c r="A6" s="8" t="s">
        <v>7</v>
      </c>
      <c r="B6" s="7"/>
      <c r="C6" s="8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8.5" customHeight="1" x14ac:dyDescent="0.45">
      <c r="A7" s="69"/>
      <c r="B7" s="50"/>
      <c r="C7" s="69" t="s">
        <v>9</v>
      </c>
      <c r="D7" s="50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ht="18.5" customHeight="1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18.5" customHeight="1" x14ac:dyDescent="0.35">
      <c r="A9" s="46" t="s">
        <v>10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8"/>
    </row>
    <row r="10" spans="1:18" ht="18.5" customHeight="1" x14ac:dyDescent="0.45">
      <c r="A10" s="9" t="s">
        <v>11</v>
      </c>
      <c r="B10" s="7"/>
      <c r="C10" s="7"/>
      <c r="D10" s="7"/>
      <c r="E10" s="7"/>
      <c r="F10" s="9" t="s">
        <v>12</v>
      </c>
      <c r="G10" s="7"/>
      <c r="H10" s="7"/>
      <c r="I10" s="7"/>
      <c r="J10" s="7"/>
      <c r="K10" s="9" t="s">
        <v>13</v>
      </c>
      <c r="L10" s="7"/>
      <c r="M10" s="7"/>
      <c r="N10" s="7"/>
      <c r="O10" s="7"/>
      <c r="P10" s="9" t="s">
        <v>14</v>
      </c>
      <c r="Q10" s="7"/>
      <c r="R10" s="7"/>
    </row>
    <row r="11" spans="1:18" ht="18.5" customHeight="1" x14ac:dyDescent="0.45">
      <c r="A11" s="9" t="s">
        <v>15</v>
      </c>
      <c r="B11" s="9" t="s">
        <v>16</v>
      </c>
      <c r="C11" s="9" t="s">
        <v>17</v>
      </c>
      <c r="D11" s="9" t="s">
        <v>18</v>
      </c>
      <c r="E11" s="7"/>
      <c r="F11" s="9" t="s">
        <v>19</v>
      </c>
      <c r="G11" s="9" t="s">
        <v>20</v>
      </c>
      <c r="H11" s="9" t="s">
        <v>21</v>
      </c>
      <c r="I11" s="7"/>
      <c r="J11" s="7"/>
      <c r="K11" s="9" t="s">
        <v>22</v>
      </c>
      <c r="L11" s="9" t="s">
        <v>23</v>
      </c>
      <c r="M11" s="9" t="s">
        <v>22</v>
      </c>
      <c r="N11" s="9" t="s">
        <v>23</v>
      </c>
      <c r="O11" s="7"/>
      <c r="P11" s="9" t="s">
        <v>24</v>
      </c>
      <c r="Q11" s="9" t="s">
        <v>23</v>
      </c>
      <c r="R11" s="9" t="s">
        <v>25</v>
      </c>
    </row>
    <row r="12" spans="1:18" ht="18.5" customHeight="1" x14ac:dyDescent="0.45">
      <c r="A12" s="8" t="s">
        <v>26</v>
      </c>
      <c r="B12" s="10">
        <v>7</v>
      </c>
      <c r="C12" s="10">
        <v>2</v>
      </c>
      <c r="D12" s="11">
        <f t="shared" ref="D12:D19" si="0">SUM(B12:C12)</f>
        <v>9</v>
      </c>
      <c r="E12" s="7"/>
      <c r="F12" s="16" t="s">
        <v>27</v>
      </c>
      <c r="G12" s="18" t="s">
        <v>28</v>
      </c>
      <c r="H12" s="11">
        <f>ROUNDDOWN((D13+D16+D17)/2,0)</f>
        <v>5</v>
      </c>
      <c r="I12" s="7"/>
      <c r="J12" s="7"/>
      <c r="K12" s="17" t="s">
        <v>29</v>
      </c>
      <c r="L12" s="12">
        <f>ROUNDDOWN((D13+D16)/2,0)</f>
        <v>4</v>
      </c>
      <c r="M12" s="8" t="s">
        <v>30</v>
      </c>
      <c r="N12" s="11">
        <v>0</v>
      </c>
      <c r="O12" s="7"/>
      <c r="P12" s="17" t="s">
        <v>31</v>
      </c>
      <c r="Q12" s="12">
        <v>0</v>
      </c>
      <c r="R12" s="16" t="s">
        <v>32</v>
      </c>
    </row>
    <row r="13" spans="1:18" ht="18.5" customHeight="1" x14ac:dyDescent="0.45">
      <c r="A13" s="8" t="s">
        <v>33</v>
      </c>
      <c r="B13" s="10">
        <v>5</v>
      </c>
      <c r="C13" s="10">
        <v>0</v>
      </c>
      <c r="D13" s="11">
        <f t="shared" si="0"/>
        <v>5</v>
      </c>
      <c r="E13" s="7"/>
      <c r="F13" s="16" t="s">
        <v>34</v>
      </c>
      <c r="G13" s="18" t="s">
        <v>35</v>
      </c>
      <c r="H13" s="11">
        <f>ROUNDDOWN((D16+D15+D17)/2,0)</f>
        <v>4</v>
      </c>
      <c r="I13" s="7"/>
      <c r="J13" s="7"/>
      <c r="K13" s="17" t="s">
        <v>36</v>
      </c>
      <c r="L13" s="12">
        <f>L12+Q14</f>
        <v>8</v>
      </c>
      <c r="M13" s="8" t="s">
        <v>37</v>
      </c>
      <c r="N13" s="11"/>
      <c r="O13" s="7"/>
      <c r="P13" s="17" t="s">
        <v>38</v>
      </c>
      <c r="Q13" s="12">
        <v>0</v>
      </c>
      <c r="R13" s="16" t="s">
        <v>39</v>
      </c>
    </row>
    <row r="14" spans="1:18" ht="18.5" customHeight="1" x14ac:dyDescent="0.45">
      <c r="A14" s="8" t="s">
        <v>40</v>
      </c>
      <c r="B14" s="10">
        <v>5</v>
      </c>
      <c r="C14" s="10">
        <v>0</v>
      </c>
      <c r="D14" s="11">
        <f t="shared" si="0"/>
        <v>5</v>
      </c>
      <c r="E14" s="7"/>
      <c r="F14" s="16" t="s">
        <v>41</v>
      </c>
      <c r="G14" s="18" t="s">
        <v>42</v>
      </c>
      <c r="H14" s="11">
        <f>ROUNDDOWN((D16+D17+D19)/3,0)</f>
        <v>2</v>
      </c>
      <c r="I14" s="7"/>
      <c r="J14" s="7"/>
      <c r="K14" s="17" t="s">
        <v>43</v>
      </c>
      <c r="L14" s="12">
        <f>1+Q15</f>
        <v>3</v>
      </c>
      <c r="M14" s="8" t="s">
        <v>44</v>
      </c>
      <c r="N14" s="11"/>
      <c r="O14" s="7"/>
      <c r="P14" s="17" t="s">
        <v>45</v>
      </c>
      <c r="Q14" s="12">
        <v>4</v>
      </c>
      <c r="R14" s="16" t="s">
        <v>46</v>
      </c>
    </row>
    <row r="15" spans="1:18" ht="18.5" customHeight="1" x14ac:dyDescent="0.45">
      <c r="A15" s="8" t="s">
        <v>47</v>
      </c>
      <c r="B15" s="10">
        <v>3</v>
      </c>
      <c r="C15" s="10">
        <v>0</v>
      </c>
      <c r="D15" s="11">
        <f t="shared" si="0"/>
        <v>3</v>
      </c>
      <c r="E15" s="7"/>
      <c r="F15" s="16" t="s">
        <v>32</v>
      </c>
      <c r="G15" s="18" t="s">
        <v>48</v>
      </c>
      <c r="H15" s="11">
        <f>ROUNDDOWN((D16+Q12)/3,0)</f>
        <v>1</v>
      </c>
      <c r="I15" s="7"/>
      <c r="J15" s="7"/>
      <c r="K15" s="17" t="s">
        <v>49</v>
      </c>
      <c r="L15" s="15" t="str">
        <f>L13&amp;" + "&amp;L14&amp;"D6"</f>
        <v>8 + 3D6</v>
      </c>
      <c r="M15" s="8" t="s">
        <v>50</v>
      </c>
      <c r="N15" s="11" t="s">
        <v>51</v>
      </c>
      <c r="O15" s="7"/>
      <c r="P15" s="17" t="s">
        <v>52</v>
      </c>
      <c r="Q15" s="12">
        <v>2</v>
      </c>
      <c r="R15" s="16" t="s">
        <v>46</v>
      </c>
    </row>
    <row r="16" spans="1:18" ht="18.5" customHeight="1" x14ac:dyDescent="0.45">
      <c r="A16" s="8" t="s">
        <v>53</v>
      </c>
      <c r="B16" s="10">
        <v>3</v>
      </c>
      <c r="C16" s="10">
        <v>0</v>
      </c>
      <c r="D16" s="11">
        <f t="shared" si="0"/>
        <v>3</v>
      </c>
      <c r="E16" s="7"/>
      <c r="F16" s="16" t="s">
        <v>39</v>
      </c>
      <c r="G16" s="18" t="s">
        <v>54</v>
      </c>
      <c r="H16" s="11">
        <f>D20+Q13</f>
        <v>0</v>
      </c>
      <c r="I16" s="7"/>
      <c r="J16" s="7"/>
      <c r="K16" s="7"/>
      <c r="L16" s="7"/>
      <c r="M16" s="8" t="s">
        <v>55</v>
      </c>
      <c r="N16" s="11">
        <v>5</v>
      </c>
      <c r="O16" s="7"/>
      <c r="P16" s="7"/>
      <c r="Q16" s="7"/>
      <c r="R16" s="7"/>
    </row>
    <row r="17" spans="1:18" ht="18.5" customHeight="1" x14ac:dyDescent="0.45">
      <c r="A17" s="8" t="s">
        <v>56</v>
      </c>
      <c r="B17" s="10">
        <v>3</v>
      </c>
      <c r="C17" s="10">
        <v>0</v>
      </c>
      <c r="D17" s="11">
        <f t="shared" si="0"/>
        <v>3</v>
      </c>
      <c r="E17" s="7"/>
      <c r="F17" s="7"/>
      <c r="G17" s="7"/>
      <c r="H17" s="7"/>
      <c r="I17" s="7"/>
      <c r="J17" s="7"/>
      <c r="K17" s="7"/>
      <c r="L17" s="7"/>
      <c r="M17" s="8" t="s">
        <v>57</v>
      </c>
      <c r="N17" s="11">
        <v>3</v>
      </c>
      <c r="O17" s="7"/>
      <c r="P17" s="7"/>
      <c r="Q17" s="7"/>
      <c r="R17" s="7"/>
    </row>
    <row r="18" spans="1:18" ht="18.5" customHeight="1" x14ac:dyDescent="0.45">
      <c r="A18" s="8" t="s">
        <v>58</v>
      </c>
      <c r="B18" s="10">
        <v>0.8</v>
      </c>
      <c r="C18" s="10">
        <v>0</v>
      </c>
      <c r="D18" s="11">
        <f t="shared" si="0"/>
        <v>0.8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ht="18.5" customHeight="1" x14ac:dyDescent="0.45">
      <c r="A19" s="8" t="s">
        <v>59</v>
      </c>
      <c r="B19" s="10">
        <v>0</v>
      </c>
      <c r="C19" s="10">
        <v>0</v>
      </c>
      <c r="D19" s="11">
        <f t="shared" si="0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ht="18.5" customHeight="1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8.5" customHeight="1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ht="18.5" customHeight="1" x14ac:dyDescent="0.35">
      <c r="A22" s="46" t="s">
        <v>60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8"/>
    </row>
    <row r="23" spans="1:18" ht="18.5" customHeight="1" x14ac:dyDescent="0.45">
      <c r="A23" s="9" t="s">
        <v>61</v>
      </c>
      <c r="B23" s="13" t="s">
        <v>62</v>
      </c>
      <c r="C23" s="13"/>
      <c r="D23" s="13" t="s">
        <v>9</v>
      </c>
      <c r="E23" s="13"/>
      <c r="F23" s="13"/>
      <c r="G23" s="13" t="s">
        <v>63</v>
      </c>
      <c r="H23" s="13"/>
      <c r="I23" s="13"/>
      <c r="J23" s="13"/>
      <c r="K23" s="13" t="s">
        <v>64</v>
      </c>
      <c r="L23" s="7"/>
      <c r="M23" s="7"/>
      <c r="N23" s="7"/>
      <c r="O23" s="7"/>
      <c r="P23" s="7"/>
      <c r="Q23" s="7"/>
      <c r="R23" s="7"/>
    </row>
    <row r="24" spans="1:18" ht="18.5" customHeight="1" x14ac:dyDescent="0.45">
      <c r="A24" s="7"/>
      <c r="B24" s="42">
        <v>-1</v>
      </c>
      <c r="C24" s="42"/>
      <c r="D24" s="42">
        <v>-3</v>
      </c>
      <c r="E24" s="42"/>
      <c r="F24" s="42"/>
      <c r="G24" s="42">
        <v>-6</v>
      </c>
      <c r="H24" s="42"/>
      <c r="I24" s="42"/>
      <c r="J24" s="42"/>
      <c r="K24" s="42" t="s">
        <v>65</v>
      </c>
      <c r="L24" s="7"/>
      <c r="M24" s="7"/>
      <c r="N24" s="7"/>
      <c r="O24" s="7"/>
      <c r="P24" s="7"/>
      <c r="Q24" s="7"/>
      <c r="R24" s="7"/>
    </row>
    <row r="25" spans="1:18" ht="18.5" customHeight="1" x14ac:dyDescent="0.45">
      <c r="A25" s="9" t="s">
        <v>66</v>
      </c>
      <c r="B25" s="13" t="s">
        <v>62</v>
      </c>
      <c r="C25" s="13"/>
      <c r="D25" s="13" t="s">
        <v>9</v>
      </c>
      <c r="E25" s="13"/>
      <c r="F25" s="13"/>
      <c r="G25" s="13" t="s">
        <v>63</v>
      </c>
      <c r="H25" s="13"/>
      <c r="I25" s="13"/>
      <c r="J25" s="13"/>
      <c r="K25" s="13" t="s">
        <v>64</v>
      </c>
      <c r="L25" s="7"/>
      <c r="M25" s="7"/>
      <c r="N25" s="7"/>
      <c r="O25" s="7"/>
      <c r="P25" s="7"/>
      <c r="Q25" s="7"/>
      <c r="R25" s="7"/>
    </row>
    <row r="26" spans="1:18" ht="18.5" customHeight="1" x14ac:dyDescent="0.45">
      <c r="A26" s="7"/>
      <c r="B26" s="42">
        <v>-1</v>
      </c>
      <c r="C26" s="42"/>
      <c r="D26" s="42">
        <v>-3</v>
      </c>
      <c r="E26" s="42"/>
      <c r="F26" s="42"/>
      <c r="G26" s="42">
        <v>-6</v>
      </c>
      <c r="H26" s="42"/>
      <c r="I26" s="42"/>
      <c r="J26" s="42"/>
      <c r="K26" s="42" t="s">
        <v>67</v>
      </c>
      <c r="L26" s="7"/>
      <c r="M26" s="7"/>
      <c r="N26" s="7"/>
      <c r="O26" s="7"/>
      <c r="P26" s="7"/>
      <c r="Q26" s="7"/>
      <c r="R26" s="7"/>
    </row>
    <row r="27" spans="1:18" ht="18.5" customHeight="1" x14ac:dyDescent="0.45">
      <c r="A27" s="9" t="s">
        <v>68</v>
      </c>
      <c r="B27" s="32"/>
      <c r="C27" s="32"/>
      <c r="D27" s="32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8.5" customHeight="1" x14ac:dyDescent="0.45">
      <c r="A28" s="83" t="s">
        <v>69</v>
      </c>
      <c r="B28" s="80"/>
      <c r="C28" s="80"/>
      <c r="D28" s="80"/>
      <c r="E28" s="80"/>
      <c r="F28" s="80"/>
      <c r="G28" s="81"/>
      <c r="H28" s="7"/>
      <c r="I28" s="79" t="s">
        <v>70</v>
      </c>
      <c r="J28" s="80"/>
      <c r="K28" s="80"/>
      <c r="L28" s="80"/>
      <c r="M28" s="80"/>
      <c r="N28" s="80"/>
      <c r="O28" s="80"/>
      <c r="P28" s="80"/>
      <c r="Q28" s="80"/>
      <c r="R28" s="81"/>
    </row>
    <row r="29" spans="1:18" ht="18.5" customHeight="1" x14ac:dyDescent="0.45">
      <c r="A29" s="25"/>
      <c r="B29" s="7"/>
      <c r="C29" s="7"/>
      <c r="D29" s="7"/>
      <c r="E29" s="7"/>
      <c r="F29" s="7"/>
      <c r="G29" s="33"/>
      <c r="H29" s="7"/>
      <c r="I29" s="25"/>
      <c r="J29" s="7"/>
      <c r="K29" s="7"/>
      <c r="L29" s="7"/>
      <c r="M29" s="7"/>
      <c r="N29" s="7"/>
      <c r="O29" s="7"/>
      <c r="R29" s="26"/>
    </row>
    <row r="30" spans="1:18" ht="15.5" customHeight="1" x14ac:dyDescent="0.35">
      <c r="A30" s="76" t="s">
        <v>71</v>
      </c>
      <c r="B30" s="47"/>
      <c r="C30" s="48"/>
      <c r="D30" s="14"/>
      <c r="E30" s="78" t="s">
        <v>72</v>
      </c>
      <c r="F30" s="47"/>
      <c r="G30" s="48"/>
      <c r="H30" s="14"/>
      <c r="I30" s="56" t="s">
        <v>73</v>
      </c>
      <c r="J30" s="57"/>
      <c r="K30" s="57"/>
      <c r="L30" s="57"/>
      <c r="M30" s="57"/>
      <c r="N30" s="57"/>
      <c r="O30" s="57"/>
      <c r="P30" s="57"/>
      <c r="Q30" s="57"/>
      <c r="R30" s="58"/>
    </row>
    <row r="31" spans="1:18" x14ac:dyDescent="0.35">
      <c r="A31" s="70" t="s">
        <v>74</v>
      </c>
      <c r="B31" s="71"/>
      <c r="C31" s="44" t="s">
        <v>75</v>
      </c>
      <c r="E31" s="74" t="s">
        <v>74</v>
      </c>
      <c r="F31" s="71"/>
      <c r="G31" s="43" t="s">
        <v>75</v>
      </c>
      <c r="I31" s="66" t="s">
        <v>76</v>
      </c>
      <c r="J31" s="52"/>
      <c r="K31" s="27" t="s">
        <v>77</v>
      </c>
      <c r="L31" s="27" t="s">
        <v>78</v>
      </c>
      <c r="M31" s="19" t="s">
        <v>79</v>
      </c>
      <c r="N31" s="59" t="s">
        <v>80</v>
      </c>
      <c r="O31" s="57"/>
      <c r="P31" s="57"/>
      <c r="Q31" s="28" t="s">
        <v>17</v>
      </c>
      <c r="R31" s="35" t="s">
        <v>81</v>
      </c>
    </row>
    <row r="32" spans="1:18" ht="14" customHeight="1" x14ac:dyDescent="0.35">
      <c r="A32" s="63" t="s">
        <v>82</v>
      </c>
      <c r="B32" s="50"/>
      <c r="C32" s="20">
        <v>5</v>
      </c>
      <c r="E32" s="49" t="s">
        <v>83</v>
      </c>
      <c r="F32" s="50"/>
      <c r="G32" s="34">
        <v>1</v>
      </c>
      <c r="I32" s="85" t="s">
        <v>84</v>
      </c>
      <c r="J32" s="86"/>
      <c r="K32" s="21" t="s">
        <v>85</v>
      </c>
      <c r="L32" s="21" t="s">
        <v>86</v>
      </c>
      <c r="M32" s="21" t="s">
        <v>87</v>
      </c>
      <c r="N32" s="54" t="s">
        <v>86</v>
      </c>
      <c r="O32" s="62"/>
      <c r="P32" s="55"/>
      <c r="Q32" s="22" t="s">
        <v>88</v>
      </c>
      <c r="R32" s="21"/>
    </row>
    <row r="33" spans="1:18" ht="14" customHeight="1" x14ac:dyDescent="0.35">
      <c r="A33" s="82" t="s">
        <v>89</v>
      </c>
      <c r="B33" s="47"/>
      <c r="C33" s="20">
        <v>5</v>
      </c>
      <c r="E33" s="49" t="s">
        <v>90</v>
      </c>
      <c r="F33" s="50"/>
      <c r="G33" s="34">
        <v>3</v>
      </c>
      <c r="I33" s="85" t="s">
        <v>91</v>
      </c>
      <c r="J33" s="86"/>
      <c r="K33" s="21" t="s">
        <v>92</v>
      </c>
      <c r="L33" s="21" t="s">
        <v>86</v>
      </c>
      <c r="M33" s="21" t="s">
        <v>93</v>
      </c>
      <c r="N33" s="51" t="s">
        <v>86</v>
      </c>
      <c r="O33" s="52"/>
      <c r="P33" s="53"/>
      <c r="Q33" s="22" t="s">
        <v>94</v>
      </c>
      <c r="R33" s="21"/>
    </row>
    <row r="34" spans="1:18" ht="14" customHeight="1" x14ac:dyDescent="0.35">
      <c r="A34" s="63" t="s">
        <v>95</v>
      </c>
      <c r="B34" s="50"/>
      <c r="C34" s="20">
        <v>5</v>
      </c>
      <c r="E34" s="49" t="s">
        <v>96</v>
      </c>
      <c r="F34" s="50"/>
      <c r="G34" s="34">
        <v>3</v>
      </c>
      <c r="I34" s="85" t="s">
        <v>97</v>
      </c>
      <c r="J34" s="86"/>
      <c r="K34" s="21" t="s">
        <v>98</v>
      </c>
      <c r="L34" s="21" t="s">
        <v>99</v>
      </c>
      <c r="M34" s="21" t="s">
        <v>100</v>
      </c>
      <c r="N34" s="51" t="s">
        <v>86</v>
      </c>
      <c r="O34" s="52"/>
      <c r="P34" s="53"/>
      <c r="Q34" s="22" t="s">
        <v>101</v>
      </c>
      <c r="R34" s="21"/>
    </row>
    <row r="35" spans="1:18" ht="14" customHeight="1" x14ac:dyDescent="0.35">
      <c r="A35" s="63" t="s">
        <v>102</v>
      </c>
      <c r="B35" s="50"/>
      <c r="C35" s="20">
        <v>5</v>
      </c>
      <c r="E35" s="49" t="s">
        <v>103</v>
      </c>
      <c r="F35" s="50"/>
      <c r="G35" s="34">
        <v>3</v>
      </c>
      <c r="I35" s="85" t="s">
        <v>104</v>
      </c>
      <c r="J35" s="86"/>
      <c r="K35" s="21" t="s">
        <v>105</v>
      </c>
      <c r="L35" s="21" t="s">
        <v>86</v>
      </c>
      <c r="M35" s="21" t="s">
        <v>106</v>
      </c>
      <c r="N35" s="51" t="s">
        <v>107</v>
      </c>
      <c r="O35" s="52"/>
      <c r="P35" s="53"/>
      <c r="Q35" s="22" t="s">
        <v>86</v>
      </c>
      <c r="R35" s="21"/>
    </row>
    <row r="36" spans="1:18" ht="14" customHeight="1" x14ac:dyDescent="0.35">
      <c r="A36" s="63" t="s">
        <v>108</v>
      </c>
      <c r="B36" s="50"/>
      <c r="C36" s="20">
        <v>3</v>
      </c>
      <c r="E36" s="49" t="s">
        <v>109</v>
      </c>
      <c r="F36" s="50"/>
      <c r="G36" s="34">
        <v>2</v>
      </c>
      <c r="I36" s="85"/>
      <c r="J36" s="86"/>
      <c r="K36" s="21"/>
      <c r="L36" s="21"/>
      <c r="M36" s="21"/>
      <c r="N36" s="51"/>
      <c r="O36" s="52"/>
      <c r="P36" s="53"/>
      <c r="Q36" s="22"/>
      <c r="R36" s="21"/>
    </row>
    <row r="37" spans="1:18" ht="14" customHeight="1" x14ac:dyDescent="0.35">
      <c r="A37" s="63" t="s">
        <v>110</v>
      </c>
      <c r="B37" s="50"/>
      <c r="C37" s="20">
        <v>3</v>
      </c>
      <c r="E37" s="49" t="s">
        <v>111</v>
      </c>
      <c r="F37" s="50"/>
      <c r="G37" s="34">
        <v>3</v>
      </c>
      <c r="I37" s="85"/>
      <c r="J37" s="86"/>
      <c r="K37" s="21"/>
      <c r="L37" s="21"/>
      <c r="M37" s="21"/>
      <c r="N37" s="51"/>
      <c r="O37" s="52"/>
      <c r="P37" s="53"/>
      <c r="Q37" s="22"/>
      <c r="R37" s="21"/>
    </row>
    <row r="38" spans="1:18" ht="14" customHeight="1" x14ac:dyDescent="0.35">
      <c r="A38" s="63" t="s">
        <v>112</v>
      </c>
      <c r="B38" s="50"/>
      <c r="C38" s="20">
        <v>4</v>
      </c>
      <c r="E38" s="49"/>
      <c r="F38" s="50"/>
      <c r="G38" s="34"/>
      <c r="I38" s="85"/>
      <c r="J38" s="86"/>
      <c r="K38" s="21"/>
      <c r="L38" s="21"/>
      <c r="M38" s="21"/>
      <c r="N38" s="51"/>
      <c r="O38" s="52"/>
      <c r="P38" s="53"/>
      <c r="Q38" s="22"/>
      <c r="R38" s="21"/>
    </row>
    <row r="39" spans="1:18" ht="14" customHeight="1" x14ac:dyDescent="0.35">
      <c r="A39" s="63" t="s">
        <v>113</v>
      </c>
      <c r="B39" s="50"/>
      <c r="C39" s="20">
        <v>3</v>
      </c>
      <c r="E39" s="49"/>
      <c r="F39" s="50"/>
      <c r="G39" s="34"/>
      <c r="I39" s="61"/>
      <c r="J39" s="55"/>
      <c r="K39" s="21"/>
      <c r="L39" s="21"/>
      <c r="M39" s="21"/>
      <c r="N39" s="51"/>
      <c r="O39" s="52"/>
      <c r="P39" s="53"/>
      <c r="Q39" s="22"/>
      <c r="R39" s="21"/>
    </row>
    <row r="40" spans="1:18" ht="14" customHeight="1" x14ac:dyDescent="0.35">
      <c r="A40" s="63" t="s">
        <v>114</v>
      </c>
      <c r="B40" s="50"/>
      <c r="C40" s="20">
        <v>3</v>
      </c>
      <c r="E40" s="49"/>
      <c r="F40" s="50"/>
      <c r="G40" s="34"/>
      <c r="I40" s="61"/>
      <c r="J40" s="55"/>
      <c r="K40" s="21"/>
      <c r="L40" s="21"/>
      <c r="M40" s="21"/>
      <c r="N40" s="51"/>
      <c r="O40" s="52"/>
      <c r="P40" s="53"/>
      <c r="Q40" s="22"/>
      <c r="R40" s="21"/>
    </row>
    <row r="41" spans="1:18" ht="14" customHeight="1" x14ac:dyDescent="0.35">
      <c r="A41" s="63" t="s">
        <v>115</v>
      </c>
      <c r="B41" s="50"/>
      <c r="C41" s="20">
        <v>3</v>
      </c>
      <c r="E41" s="49"/>
      <c r="F41" s="50"/>
      <c r="G41" s="34"/>
      <c r="I41" s="61"/>
      <c r="J41" s="55"/>
      <c r="K41" s="21"/>
      <c r="L41" s="21"/>
      <c r="M41" s="21"/>
      <c r="N41" s="51"/>
      <c r="O41" s="52"/>
      <c r="P41" s="53"/>
      <c r="Q41" s="22"/>
      <c r="R41" s="21"/>
    </row>
    <row r="42" spans="1:18" ht="14" customHeight="1" x14ac:dyDescent="0.35">
      <c r="A42" s="63" t="s">
        <v>116</v>
      </c>
      <c r="B42" s="50"/>
      <c r="C42" s="20">
        <v>2</v>
      </c>
      <c r="E42" s="49"/>
      <c r="F42" s="50"/>
      <c r="G42" s="34"/>
      <c r="I42" s="61"/>
      <c r="J42" s="55"/>
      <c r="K42" s="21"/>
      <c r="L42" s="21"/>
      <c r="M42" s="21"/>
      <c r="N42" s="51"/>
      <c r="O42" s="52"/>
      <c r="P42" s="53"/>
      <c r="Q42" s="22"/>
      <c r="R42" s="21"/>
    </row>
    <row r="43" spans="1:18" ht="14" customHeight="1" x14ac:dyDescent="0.35">
      <c r="A43" s="63"/>
      <c r="B43" s="50"/>
      <c r="C43" s="20"/>
      <c r="E43" s="49"/>
      <c r="F43" s="50"/>
      <c r="G43" s="34"/>
      <c r="I43" s="61"/>
      <c r="J43" s="55"/>
      <c r="K43" s="21"/>
      <c r="L43" s="21"/>
      <c r="M43" s="21"/>
      <c r="N43" s="51"/>
      <c r="O43" s="52"/>
      <c r="P43" s="53"/>
      <c r="Q43" s="22"/>
      <c r="R43" s="21"/>
    </row>
    <row r="44" spans="1:18" ht="14" customHeight="1" x14ac:dyDescent="0.35">
      <c r="A44" s="63"/>
      <c r="B44" s="50"/>
      <c r="C44" s="20"/>
      <c r="E44" s="78" t="s">
        <v>117</v>
      </c>
      <c r="F44" s="47"/>
      <c r="G44" s="48"/>
      <c r="I44" s="61"/>
      <c r="J44" s="55"/>
      <c r="K44" s="21"/>
      <c r="L44" s="21"/>
      <c r="M44" s="21"/>
      <c r="N44" s="51"/>
      <c r="O44" s="52"/>
      <c r="P44" s="53"/>
      <c r="Q44" s="22"/>
      <c r="R44" s="21"/>
    </row>
    <row r="45" spans="1:18" ht="14" customHeight="1" x14ac:dyDescent="0.35">
      <c r="A45" s="63"/>
      <c r="B45" s="50"/>
      <c r="C45" s="20"/>
      <c r="E45" s="64" t="s">
        <v>118</v>
      </c>
      <c r="F45" s="47"/>
      <c r="G45" s="34">
        <v>3</v>
      </c>
      <c r="I45" s="61"/>
      <c r="J45" s="55"/>
      <c r="K45" s="21"/>
      <c r="L45" s="21"/>
      <c r="M45" s="21"/>
      <c r="N45" s="51"/>
      <c r="O45" s="52"/>
      <c r="P45" s="53"/>
      <c r="Q45" s="22"/>
      <c r="R45" s="21"/>
    </row>
    <row r="46" spans="1:18" ht="14" customHeight="1" x14ac:dyDescent="0.35">
      <c r="A46" s="63"/>
      <c r="B46" s="50"/>
      <c r="C46" s="20"/>
      <c r="E46" s="64" t="s">
        <v>119</v>
      </c>
      <c r="F46" s="47"/>
      <c r="G46" s="34">
        <v>1</v>
      </c>
      <c r="I46" s="61"/>
      <c r="J46" s="55"/>
      <c r="K46" s="21"/>
      <c r="L46" s="21"/>
      <c r="M46" s="21"/>
      <c r="N46" s="51"/>
      <c r="O46" s="52"/>
      <c r="P46" s="53"/>
      <c r="Q46" s="22"/>
      <c r="R46" s="21"/>
    </row>
    <row r="47" spans="1:18" ht="14" customHeight="1" x14ac:dyDescent="0.35">
      <c r="A47" s="63"/>
      <c r="B47" s="50"/>
      <c r="C47" s="39"/>
      <c r="E47" s="64"/>
      <c r="F47" s="47"/>
      <c r="G47" s="40"/>
      <c r="I47" s="61"/>
      <c r="J47" s="55"/>
      <c r="K47" s="21"/>
      <c r="L47" s="21"/>
      <c r="M47" s="21"/>
      <c r="N47" s="51"/>
      <c r="O47" s="52"/>
      <c r="P47" s="53"/>
      <c r="Q47" s="22"/>
      <c r="R47" s="21"/>
    </row>
    <row r="48" spans="1:18" ht="14" customHeight="1" x14ac:dyDescent="0.35">
      <c r="A48" s="63"/>
      <c r="B48" s="50"/>
      <c r="E48" s="64"/>
      <c r="F48" s="47"/>
      <c r="G48" s="41"/>
      <c r="I48" s="61"/>
      <c r="J48" s="55"/>
      <c r="K48" s="21"/>
      <c r="L48" s="21"/>
      <c r="M48" s="21"/>
      <c r="N48" s="51"/>
      <c r="O48" s="52"/>
      <c r="P48" s="53"/>
      <c r="Q48" s="22"/>
      <c r="R48" s="21"/>
    </row>
    <row r="49" spans="1:18" ht="18.5" customHeight="1" x14ac:dyDescent="0.45">
      <c r="A49" s="36" t="s">
        <v>120</v>
      </c>
      <c r="B49" s="37"/>
      <c r="C49" s="37"/>
      <c r="D49" s="37"/>
      <c r="E49" s="37"/>
      <c r="F49" s="37"/>
      <c r="G49" s="38"/>
      <c r="I49" s="79" t="s">
        <v>121</v>
      </c>
      <c r="J49" s="80"/>
      <c r="K49" s="80"/>
      <c r="L49" s="80"/>
      <c r="M49" s="80"/>
      <c r="N49" s="80"/>
      <c r="O49" s="80"/>
      <c r="P49" s="80"/>
      <c r="Q49" s="80"/>
      <c r="R49" s="81"/>
    </row>
    <row r="50" spans="1:18" ht="18.5" customHeight="1" x14ac:dyDescent="0.45">
      <c r="A50" s="30"/>
      <c r="G50" s="26"/>
      <c r="I50" s="25"/>
      <c r="J50" s="7"/>
      <c r="K50" s="7"/>
      <c r="L50" s="7"/>
      <c r="M50" s="7"/>
      <c r="N50" s="7"/>
      <c r="O50" s="7"/>
      <c r="R50" s="26"/>
    </row>
    <row r="51" spans="1:18" ht="18.5" customHeight="1" x14ac:dyDescent="0.35">
      <c r="A51" s="60" t="s">
        <v>120</v>
      </c>
      <c r="B51" s="57"/>
      <c r="C51" s="57"/>
      <c r="D51" s="57"/>
      <c r="E51" s="57"/>
      <c r="F51" s="57"/>
      <c r="G51" s="58"/>
      <c r="I51" s="60" t="s">
        <v>122</v>
      </c>
      <c r="J51" s="57"/>
      <c r="K51" s="57"/>
      <c r="L51" s="57"/>
      <c r="M51" s="57"/>
      <c r="N51" s="57"/>
      <c r="O51" s="57"/>
      <c r="P51" s="57"/>
      <c r="Q51" s="57"/>
      <c r="R51" s="58"/>
    </row>
    <row r="52" spans="1:18" x14ac:dyDescent="0.35">
      <c r="A52" s="75" t="s">
        <v>2</v>
      </c>
      <c r="B52" s="52"/>
      <c r="C52" s="65" t="s">
        <v>123</v>
      </c>
      <c r="D52" s="52"/>
      <c r="E52" s="24" t="s">
        <v>124</v>
      </c>
      <c r="F52" s="24"/>
      <c r="G52" s="31" t="s">
        <v>125</v>
      </c>
      <c r="I52" s="73" t="s">
        <v>2</v>
      </c>
      <c r="J52" s="52"/>
      <c r="K52" s="52"/>
      <c r="L52" s="27" t="s">
        <v>126</v>
      </c>
      <c r="M52" s="27" t="s">
        <v>78</v>
      </c>
      <c r="N52" s="67" t="s">
        <v>127</v>
      </c>
      <c r="O52" s="57"/>
      <c r="P52" s="57"/>
      <c r="Q52" s="28" t="s">
        <v>75</v>
      </c>
      <c r="R52" s="29" t="s">
        <v>128</v>
      </c>
    </row>
    <row r="53" spans="1:18" ht="14" customHeight="1" x14ac:dyDescent="0.35">
      <c r="A53" s="51"/>
      <c r="B53" s="53"/>
      <c r="C53" s="51"/>
      <c r="D53" s="53"/>
      <c r="E53" s="77"/>
      <c r="F53" s="53"/>
      <c r="G53" s="23"/>
      <c r="I53" s="61" t="s">
        <v>129</v>
      </c>
      <c r="J53" s="62"/>
      <c r="K53" s="55"/>
      <c r="L53" s="21"/>
      <c r="M53" s="45" t="s">
        <v>130</v>
      </c>
      <c r="N53" s="54"/>
      <c r="O53" s="62"/>
      <c r="P53" s="55"/>
      <c r="Q53" s="22">
        <v>2</v>
      </c>
      <c r="R53" s="21"/>
    </row>
    <row r="54" spans="1:18" ht="14" customHeight="1" x14ac:dyDescent="0.35">
      <c r="A54" s="51"/>
      <c r="B54" s="53"/>
      <c r="C54" s="54"/>
      <c r="D54" s="55"/>
      <c r="E54" s="68"/>
      <c r="F54" s="55"/>
      <c r="G54" s="22"/>
      <c r="I54" s="61" t="s">
        <v>131</v>
      </c>
      <c r="J54" s="62"/>
      <c r="K54" s="55"/>
      <c r="L54" s="21"/>
      <c r="M54" s="45" t="s">
        <v>130</v>
      </c>
      <c r="N54" s="51"/>
      <c r="O54" s="52"/>
      <c r="P54" s="53"/>
      <c r="Q54" s="22">
        <v>2</v>
      </c>
      <c r="R54" s="21"/>
    </row>
    <row r="55" spans="1:18" ht="14" customHeight="1" x14ac:dyDescent="0.35">
      <c r="A55" s="51"/>
      <c r="B55" s="53"/>
      <c r="C55" s="54"/>
      <c r="D55" s="55"/>
      <c r="E55" s="68"/>
      <c r="F55" s="55"/>
      <c r="G55" s="22"/>
      <c r="I55" s="61" t="s">
        <v>132</v>
      </c>
      <c r="J55" s="62"/>
      <c r="K55" s="55"/>
      <c r="L55" s="21"/>
      <c r="M55" s="45" t="s">
        <v>133</v>
      </c>
      <c r="N55" s="51"/>
      <c r="O55" s="52"/>
      <c r="P55" s="53"/>
      <c r="Q55" s="22">
        <v>1</v>
      </c>
      <c r="R55" s="21"/>
    </row>
    <row r="56" spans="1:18" ht="14" customHeight="1" x14ac:dyDescent="0.35">
      <c r="A56" s="51"/>
      <c r="B56" s="53"/>
      <c r="C56" s="54"/>
      <c r="D56" s="55"/>
      <c r="E56" s="68"/>
      <c r="F56" s="55"/>
      <c r="G56" s="22"/>
      <c r="I56" s="61" t="s">
        <v>134</v>
      </c>
      <c r="J56" s="62"/>
      <c r="K56" s="55"/>
      <c r="L56" s="21"/>
      <c r="M56" s="45" t="s">
        <v>135</v>
      </c>
      <c r="N56" s="51"/>
      <c r="O56" s="52"/>
      <c r="P56" s="53"/>
      <c r="Q56" s="22">
        <v>1</v>
      </c>
      <c r="R56" s="21"/>
    </row>
    <row r="57" spans="1:18" ht="14" customHeight="1" x14ac:dyDescent="0.35">
      <c r="A57" s="51"/>
      <c r="B57" s="53"/>
      <c r="C57" s="54"/>
      <c r="D57" s="55"/>
      <c r="E57" s="68"/>
      <c r="F57" s="55"/>
      <c r="G57" s="22"/>
      <c r="I57" s="61" t="s">
        <v>136</v>
      </c>
      <c r="J57" s="62"/>
      <c r="K57" s="55"/>
      <c r="L57" s="21"/>
      <c r="M57" s="45" t="s">
        <v>137</v>
      </c>
      <c r="N57" s="51"/>
      <c r="O57" s="52"/>
      <c r="P57" s="53"/>
      <c r="Q57" s="22">
        <v>2</v>
      </c>
      <c r="R57" s="21"/>
    </row>
    <row r="58" spans="1:18" ht="14" customHeight="1" x14ac:dyDescent="0.35">
      <c r="A58" s="51"/>
      <c r="B58" s="53"/>
      <c r="C58" s="54"/>
      <c r="D58" s="55"/>
      <c r="E58" s="68"/>
      <c r="F58" s="55"/>
      <c r="G58" s="22"/>
      <c r="I58" s="61" t="s">
        <v>138</v>
      </c>
      <c r="J58" s="62"/>
      <c r="K58" s="55"/>
      <c r="L58" s="21"/>
      <c r="M58" s="45" t="s">
        <v>139</v>
      </c>
      <c r="N58" s="51"/>
      <c r="O58" s="52"/>
      <c r="P58" s="53"/>
      <c r="Q58" s="22">
        <v>1</v>
      </c>
      <c r="R58" s="21"/>
    </row>
    <row r="59" spans="1:18" ht="14" customHeight="1" x14ac:dyDescent="0.35">
      <c r="A59" s="51"/>
      <c r="B59" s="53"/>
      <c r="C59" s="54"/>
      <c r="D59" s="55"/>
      <c r="E59" s="68"/>
      <c r="F59" s="55"/>
      <c r="G59" s="22"/>
      <c r="I59" s="61" t="s">
        <v>140</v>
      </c>
      <c r="J59" s="62"/>
      <c r="K59" s="55"/>
      <c r="L59" s="21"/>
      <c r="M59" s="45" t="s">
        <v>141</v>
      </c>
      <c r="N59" s="51"/>
      <c r="O59" s="52"/>
      <c r="P59" s="53"/>
      <c r="Q59" s="22">
        <v>1</v>
      </c>
      <c r="R59" s="21"/>
    </row>
    <row r="60" spans="1:18" ht="14" customHeight="1" x14ac:dyDescent="0.35">
      <c r="A60" s="51"/>
      <c r="B60" s="53"/>
      <c r="C60" s="54"/>
      <c r="D60" s="55"/>
      <c r="E60" s="54"/>
      <c r="F60" s="55"/>
      <c r="G60" s="22"/>
      <c r="I60" s="61"/>
      <c r="J60" s="62"/>
      <c r="K60" s="55"/>
      <c r="L60" s="21"/>
      <c r="M60" s="21"/>
      <c r="N60" s="51"/>
      <c r="O60" s="52"/>
      <c r="P60" s="53"/>
      <c r="Q60" s="22"/>
      <c r="R60" s="21"/>
    </row>
    <row r="61" spans="1:18" ht="14" customHeight="1" x14ac:dyDescent="0.35">
      <c r="A61" s="51"/>
      <c r="B61" s="53"/>
      <c r="C61" s="54"/>
      <c r="D61" s="55"/>
      <c r="E61" s="54"/>
      <c r="F61" s="55"/>
      <c r="G61" s="22"/>
      <c r="I61" s="61"/>
      <c r="J61" s="62"/>
      <c r="K61" s="55"/>
      <c r="L61" s="21"/>
      <c r="M61" s="21"/>
      <c r="N61" s="51"/>
      <c r="O61" s="52"/>
      <c r="P61" s="53"/>
      <c r="Q61" s="22"/>
      <c r="R61" s="21"/>
    </row>
    <row r="62" spans="1:18" ht="14" customHeight="1" x14ac:dyDescent="0.35">
      <c r="A62" s="51"/>
      <c r="B62" s="53"/>
      <c r="C62" s="54"/>
      <c r="D62" s="55"/>
      <c r="E62" s="54"/>
      <c r="F62" s="55"/>
      <c r="G62" s="22"/>
      <c r="I62" s="61"/>
      <c r="J62" s="62"/>
      <c r="K62" s="55"/>
      <c r="L62" s="21"/>
      <c r="M62" s="21"/>
      <c r="N62" s="51"/>
      <c r="O62" s="52"/>
      <c r="P62" s="53"/>
      <c r="Q62" s="22"/>
      <c r="R62" s="21"/>
    </row>
    <row r="63" spans="1:18" ht="14" customHeight="1" x14ac:dyDescent="0.35">
      <c r="A63" s="51"/>
      <c r="B63" s="53"/>
      <c r="C63" s="54"/>
      <c r="D63" s="55"/>
      <c r="E63" s="54"/>
      <c r="F63" s="55"/>
      <c r="G63" s="22"/>
      <c r="I63" s="61"/>
      <c r="J63" s="62"/>
      <c r="K63" s="55"/>
      <c r="L63" s="21"/>
      <c r="M63" s="21"/>
      <c r="N63" s="51"/>
      <c r="O63" s="52"/>
      <c r="P63" s="53"/>
      <c r="Q63" s="22"/>
      <c r="R63" s="21"/>
    </row>
    <row r="64" spans="1:18" ht="14" customHeight="1" x14ac:dyDescent="0.35">
      <c r="A64" s="51"/>
      <c r="B64" s="53"/>
      <c r="C64" s="54"/>
      <c r="D64" s="55"/>
      <c r="E64" s="54"/>
      <c r="F64" s="55"/>
      <c r="G64" s="22"/>
      <c r="I64" s="61"/>
      <c r="J64" s="62"/>
      <c r="K64" s="55"/>
      <c r="L64" s="21"/>
      <c r="M64" s="21"/>
      <c r="N64" s="51"/>
      <c r="O64" s="52"/>
      <c r="P64" s="53"/>
      <c r="Q64" s="22"/>
      <c r="R64" s="21"/>
    </row>
    <row r="65" spans="1:18" ht="14" customHeight="1" x14ac:dyDescent="0.35">
      <c r="A65" s="51"/>
      <c r="B65" s="53"/>
      <c r="C65" s="54"/>
      <c r="D65" s="55"/>
      <c r="E65" s="54"/>
      <c r="F65" s="55"/>
      <c r="G65" s="22"/>
      <c r="I65" s="61"/>
      <c r="J65" s="62"/>
      <c r="K65" s="55"/>
      <c r="L65" s="21"/>
      <c r="M65" s="21"/>
      <c r="N65" s="51"/>
      <c r="O65" s="52"/>
      <c r="P65" s="53"/>
      <c r="Q65" s="22"/>
      <c r="R65" s="21"/>
    </row>
    <row r="66" spans="1:18" ht="14" customHeight="1" x14ac:dyDescent="0.35">
      <c r="A66" s="51"/>
      <c r="B66" s="53"/>
      <c r="C66" s="54"/>
      <c r="D66" s="55"/>
      <c r="E66" s="54"/>
      <c r="F66" s="55"/>
      <c r="G66" s="22"/>
      <c r="I66" s="61"/>
      <c r="J66" s="62"/>
      <c r="K66" s="55"/>
      <c r="L66" s="21"/>
      <c r="M66" s="21"/>
      <c r="N66" s="51"/>
      <c r="O66" s="52"/>
      <c r="P66" s="53"/>
      <c r="Q66" s="22"/>
      <c r="R66" s="21"/>
    </row>
    <row r="67" spans="1:18" ht="14" customHeight="1" x14ac:dyDescent="0.35">
      <c r="A67" s="51"/>
      <c r="B67" s="53"/>
      <c r="C67" s="54"/>
      <c r="D67" s="55"/>
      <c r="E67" s="54"/>
      <c r="F67" s="55"/>
      <c r="G67" s="22"/>
      <c r="I67" s="61"/>
      <c r="J67" s="62"/>
      <c r="K67" s="55"/>
      <c r="L67" s="21"/>
      <c r="M67" s="21"/>
      <c r="N67" s="51"/>
      <c r="O67" s="52"/>
      <c r="P67" s="53"/>
      <c r="Q67" s="22"/>
      <c r="R67" s="21"/>
    </row>
    <row r="68" spans="1:18" ht="14" customHeight="1" x14ac:dyDescent="0.35">
      <c r="A68" s="51"/>
      <c r="B68" s="53"/>
      <c r="C68" s="54"/>
      <c r="D68" s="55"/>
      <c r="E68" s="54"/>
      <c r="F68" s="55"/>
      <c r="G68" s="22"/>
      <c r="I68" s="61"/>
      <c r="J68" s="62"/>
      <c r="K68" s="55"/>
      <c r="L68" s="21"/>
      <c r="M68" s="21"/>
      <c r="N68" s="51"/>
      <c r="O68" s="52"/>
      <c r="P68" s="53"/>
      <c r="Q68" s="22"/>
      <c r="R68" s="21"/>
    </row>
  </sheetData>
  <mergeCells count="173">
    <mergeCell ref="E38:F38"/>
    <mergeCell ref="I32:J32"/>
    <mergeCell ref="A37:B37"/>
    <mergeCell ref="N34:P34"/>
    <mergeCell ref="N36:P36"/>
    <mergeCell ref="I65:K65"/>
    <mergeCell ref="E36:F36"/>
    <mergeCell ref="N55:P55"/>
    <mergeCell ref="A9:R9"/>
    <mergeCell ref="A53:B53"/>
    <mergeCell ref="A5:D5"/>
    <mergeCell ref="I54:K54"/>
    <mergeCell ref="N33:P33"/>
    <mergeCell ref="C62:D62"/>
    <mergeCell ref="A64:B64"/>
    <mergeCell ref="E62:F62"/>
    <mergeCell ref="N42:P42"/>
    <mergeCell ref="I56:K56"/>
    <mergeCell ref="C64:D64"/>
    <mergeCell ref="E64:F64"/>
    <mergeCell ref="N44:P44"/>
    <mergeCell ref="A28:G28"/>
    <mergeCell ref="A35:B35"/>
    <mergeCell ref="I44:J44"/>
    <mergeCell ref="A62:B62"/>
    <mergeCell ref="I28:R28"/>
    <mergeCell ref="N32:P32"/>
    <mergeCell ref="N58:P58"/>
    <mergeCell ref="E30:G30"/>
    <mergeCell ref="I64:K64"/>
    <mergeCell ref="E40:F40"/>
    <mergeCell ref="I43:J43"/>
    <mergeCell ref="C60:D60"/>
    <mergeCell ref="A67:B67"/>
    <mergeCell ref="N67:P67"/>
    <mergeCell ref="A54:B54"/>
    <mergeCell ref="C54:D54"/>
    <mergeCell ref="A7:B7"/>
    <mergeCell ref="A41:B41"/>
    <mergeCell ref="C63:D63"/>
    <mergeCell ref="E63:F63"/>
    <mergeCell ref="N60:P60"/>
    <mergeCell ref="A56:B56"/>
    <mergeCell ref="C56:D56"/>
    <mergeCell ref="I49:R49"/>
    <mergeCell ref="A22:R22"/>
    <mergeCell ref="E65:F65"/>
    <mergeCell ref="E34:F34"/>
    <mergeCell ref="I63:K63"/>
    <mergeCell ref="A33:B33"/>
    <mergeCell ref="I59:K59"/>
    <mergeCell ref="I42:J42"/>
    <mergeCell ref="A42:B42"/>
    <mergeCell ref="F5:I5"/>
    <mergeCell ref="I35:J35"/>
    <mergeCell ref="N47:P47"/>
    <mergeCell ref="A52:B52"/>
    <mergeCell ref="A63:B63"/>
    <mergeCell ref="C57:D57"/>
    <mergeCell ref="C66:D66"/>
    <mergeCell ref="N37:P37"/>
    <mergeCell ref="E66:F66"/>
    <mergeCell ref="K5:N5"/>
    <mergeCell ref="A55:B55"/>
    <mergeCell ref="C59:D59"/>
    <mergeCell ref="E59:F59"/>
    <mergeCell ref="E46:F46"/>
    <mergeCell ref="A57:B57"/>
    <mergeCell ref="N65:P65"/>
    <mergeCell ref="A32:B32"/>
    <mergeCell ref="C61:D61"/>
    <mergeCell ref="A30:C30"/>
    <mergeCell ref="E61:F61"/>
    <mergeCell ref="N35:P35"/>
    <mergeCell ref="E57:F57"/>
    <mergeCell ref="E53:F53"/>
    <mergeCell ref="E44:G44"/>
    <mergeCell ref="A1:R1"/>
    <mergeCell ref="C53:D53"/>
    <mergeCell ref="E58:F58"/>
    <mergeCell ref="A34:B34"/>
    <mergeCell ref="C68:D68"/>
    <mergeCell ref="E68:F68"/>
    <mergeCell ref="I66:K66"/>
    <mergeCell ref="N62:P62"/>
    <mergeCell ref="C58:D58"/>
    <mergeCell ref="I53:K53"/>
    <mergeCell ref="A36:B36"/>
    <mergeCell ref="I45:J45"/>
    <mergeCell ref="E39:F39"/>
    <mergeCell ref="I68:K68"/>
    <mergeCell ref="N64:P64"/>
    <mergeCell ref="I55:K55"/>
    <mergeCell ref="I47:J47"/>
    <mergeCell ref="A65:B65"/>
    <mergeCell ref="I52:K52"/>
    <mergeCell ref="I67:K67"/>
    <mergeCell ref="C65:D65"/>
    <mergeCell ref="N40:P40"/>
    <mergeCell ref="I37:J37"/>
    <mergeCell ref="E31:F31"/>
    <mergeCell ref="C7:D7"/>
    <mergeCell ref="E32:F32"/>
    <mergeCell ref="A43:B43"/>
    <mergeCell ref="E41:F41"/>
    <mergeCell ref="N66:P66"/>
    <mergeCell ref="I57:K57"/>
    <mergeCell ref="N53:P53"/>
    <mergeCell ref="A40:B40"/>
    <mergeCell ref="E56:F56"/>
    <mergeCell ref="E43:F43"/>
    <mergeCell ref="A31:B31"/>
    <mergeCell ref="I33:J33"/>
    <mergeCell ref="N45:P45"/>
    <mergeCell ref="A39:B39"/>
    <mergeCell ref="A48:B48"/>
    <mergeCell ref="A59:B59"/>
    <mergeCell ref="E55:F55"/>
    <mergeCell ref="I46:J46"/>
    <mergeCell ref="A45:B45"/>
    <mergeCell ref="E48:F48"/>
    <mergeCell ref="I51:R51"/>
    <mergeCell ref="A61:B61"/>
    <mergeCell ref="I62:K62"/>
    <mergeCell ref="N57:P57"/>
    <mergeCell ref="N68:P68"/>
    <mergeCell ref="I34:J34"/>
    <mergeCell ref="N46:P46"/>
    <mergeCell ref="A60:B60"/>
    <mergeCell ref="E33:F33"/>
    <mergeCell ref="N52:P52"/>
    <mergeCell ref="E42:F42"/>
    <mergeCell ref="N61:P61"/>
    <mergeCell ref="N39:P39"/>
    <mergeCell ref="I58:K58"/>
    <mergeCell ref="I36:J36"/>
    <mergeCell ref="N48:P48"/>
    <mergeCell ref="N43:P43"/>
    <mergeCell ref="I40:J40"/>
    <mergeCell ref="A58:B58"/>
    <mergeCell ref="E47:F47"/>
    <mergeCell ref="A38:B38"/>
    <mergeCell ref="E54:F54"/>
    <mergeCell ref="C67:D67"/>
    <mergeCell ref="A68:B68"/>
    <mergeCell ref="E67:F67"/>
    <mergeCell ref="I41:J41"/>
    <mergeCell ref="A46:B46"/>
    <mergeCell ref="N59:P59"/>
    <mergeCell ref="A3:R3"/>
    <mergeCell ref="E35:F35"/>
    <mergeCell ref="N38:P38"/>
    <mergeCell ref="C55:D55"/>
    <mergeCell ref="A66:B66"/>
    <mergeCell ref="I30:R30"/>
    <mergeCell ref="N31:P31"/>
    <mergeCell ref="E60:F60"/>
    <mergeCell ref="A51:G51"/>
    <mergeCell ref="I60:K60"/>
    <mergeCell ref="A47:B47"/>
    <mergeCell ref="E45:F45"/>
    <mergeCell ref="C52:D52"/>
    <mergeCell ref="I39:J39"/>
    <mergeCell ref="I48:J48"/>
    <mergeCell ref="N54:P54"/>
    <mergeCell ref="N63:P63"/>
    <mergeCell ref="N41:P41"/>
    <mergeCell ref="I38:J38"/>
    <mergeCell ref="I61:K61"/>
    <mergeCell ref="E37:F37"/>
    <mergeCell ref="N56:P56"/>
    <mergeCell ref="A44:B44"/>
    <mergeCell ref="I31:J31"/>
  </mergeCells>
  <printOptions horizontalCentered="1"/>
  <pageMargins left="0.5" right="0.5" top="0.6" bottom="0.6" header="0.25" footer="0.25"/>
  <pageSetup scale="57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2"/>
  <sheetViews>
    <sheetView showGridLines="0" tabSelected="1" workbookViewId="0">
      <selection activeCell="E5" sqref="E5:G6"/>
    </sheetView>
  </sheetViews>
  <sheetFormatPr defaultRowHeight="14.5" x14ac:dyDescent="0.35"/>
  <cols>
    <col min="1" max="1" width="24" customWidth="1"/>
    <col min="2" max="2" width="8" customWidth="1"/>
    <col min="3" max="3" width="24" customWidth="1"/>
    <col min="4" max="4" width="2" customWidth="1"/>
    <col min="5" max="5" width="20" customWidth="1"/>
    <col min="6" max="7" width="10" customWidth="1"/>
    <col min="8" max="8" width="24" customWidth="1"/>
  </cols>
  <sheetData>
    <row r="2" spans="1:8" x14ac:dyDescent="0.35">
      <c r="A2" t="s">
        <v>5</v>
      </c>
    </row>
    <row r="3" spans="1:8" x14ac:dyDescent="0.35">
      <c r="A3" t="s">
        <v>142</v>
      </c>
      <c r="B3" t="s">
        <v>143</v>
      </c>
      <c r="E3" s="84" t="s">
        <v>120</v>
      </c>
      <c r="F3" s="47"/>
      <c r="G3" s="47"/>
      <c r="H3" s="48"/>
    </row>
    <row r="4" spans="1:8" x14ac:dyDescent="0.35">
      <c r="A4" t="s">
        <v>144</v>
      </c>
      <c r="B4" t="s">
        <v>145</v>
      </c>
      <c r="E4" s="3" t="s">
        <v>2</v>
      </c>
      <c r="F4" s="3" t="s">
        <v>146</v>
      </c>
      <c r="G4" s="3" t="s">
        <v>147</v>
      </c>
      <c r="H4" s="3" t="s">
        <v>127</v>
      </c>
    </row>
    <row r="5" spans="1:8" x14ac:dyDescent="0.35">
      <c r="A5" t="s">
        <v>148</v>
      </c>
      <c r="B5" t="s">
        <v>149</v>
      </c>
      <c r="E5" s="4"/>
      <c r="F5" s="4"/>
      <c r="G5" s="4"/>
      <c r="H5" s="4"/>
    </row>
    <row r="6" spans="1:8" x14ac:dyDescent="0.35">
      <c r="A6" t="s">
        <v>51</v>
      </c>
      <c r="B6" t="s">
        <v>150</v>
      </c>
      <c r="E6" s="4"/>
      <c r="F6" s="4"/>
      <c r="G6" s="4"/>
      <c r="H6" s="4"/>
    </row>
    <row r="7" spans="1:8" x14ac:dyDescent="0.35">
      <c r="E7" s="4"/>
      <c r="F7" s="4"/>
      <c r="G7" s="4"/>
      <c r="H7" s="4"/>
    </row>
    <row r="8" spans="1:8" x14ac:dyDescent="0.35">
      <c r="E8" s="4"/>
      <c r="F8" s="4"/>
      <c r="G8" s="4"/>
      <c r="H8" s="4"/>
    </row>
    <row r="9" spans="1:8" x14ac:dyDescent="0.35">
      <c r="E9" s="4"/>
      <c r="F9" s="4"/>
      <c r="G9" s="4"/>
      <c r="H9" s="4"/>
    </row>
    <row r="10" spans="1:8" x14ac:dyDescent="0.35">
      <c r="E10" s="4"/>
      <c r="F10" s="4"/>
      <c r="G10" s="4"/>
      <c r="H10" s="4"/>
    </row>
    <row r="11" spans="1:8" x14ac:dyDescent="0.35">
      <c r="E11" s="4"/>
      <c r="F11" s="4"/>
      <c r="G11" s="4"/>
      <c r="H11" s="4"/>
    </row>
    <row r="12" spans="1:8" x14ac:dyDescent="0.35">
      <c r="E12" s="4"/>
      <c r="F12" s="4"/>
      <c r="G12" s="4"/>
      <c r="H12" s="4"/>
    </row>
  </sheetData>
  <mergeCells count="1">
    <mergeCell ref="E3:H3"/>
  </mergeCells>
  <printOptions horizontalCentered="1"/>
  <pageMargins left="0.5" right="0.5" top="0.6" bottom="0.6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0"/>
  <sheetViews>
    <sheetView showGridLines="0" workbookViewId="0"/>
  </sheetViews>
  <sheetFormatPr defaultRowHeight="14.5" x14ac:dyDescent="0.35"/>
  <cols>
    <col min="1" max="1" width="24" customWidth="1"/>
    <col min="2" max="2" width="100" customWidth="1"/>
  </cols>
  <sheetData>
    <row r="1" spans="1:2" x14ac:dyDescent="0.35">
      <c r="A1" s="3" t="s">
        <v>151</v>
      </c>
      <c r="B1" s="3" t="s">
        <v>127</v>
      </c>
    </row>
    <row r="2" spans="1:2" x14ac:dyDescent="0.35">
      <c r="A2" s="5" t="s">
        <v>152</v>
      </c>
      <c r="B2" s="6" t="s">
        <v>153</v>
      </c>
    </row>
    <row r="3" spans="1:2" ht="24" customHeight="1" x14ac:dyDescent="0.35">
      <c r="A3" s="5" t="s">
        <v>154</v>
      </c>
      <c r="B3" s="6" t="s">
        <v>155</v>
      </c>
    </row>
    <row r="4" spans="1:2" x14ac:dyDescent="0.35">
      <c r="A4" s="5" t="s">
        <v>156</v>
      </c>
      <c r="B4" s="6" t="s">
        <v>157</v>
      </c>
    </row>
    <row r="6" spans="1:2" x14ac:dyDescent="0.35">
      <c r="A6" s="2" t="s">
        <v>158</v>
      </c>
    </row>
    <row r="7" spans="1:2" x14ac:dyDescent="0.35">
      <c r="B7" s="1" t="s">
        <v>159</v>
      </c>
    </row>
    <row r="8" spans="1:2" x14ac:dyDescent="0.35">
      <c r="B8" s="1" t="s">
        <v>160</v>
      </c>
    </row>
    <row r="9" spans="1:2" x14ac:dyDescent="0.35">
      <c r="B9" s="1" t="s">
        <v>161</v>
      </c>
    </row>
    <row r="10" spans="1:2" x14ac:dyDescent="0.35">
      <c r="B10" s="1" t="s">
        <v>162</v>
      </c>
    </row>
  </sheetData>
  <printOptions horizontalCentered="1"/>
  <pageMargins left="0.5" right="0.5" top="0.6" bottom="0.6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Core</vt:lpstr>
      <vt:lpstr>Gear &amp; Contacts</vt:lpstr>
      <vt:lpstr>Sources &amp; Notes</vt:lpstr>
      <vt:lpstr>Core!Print_Area</vt:lpstr>
      <vt:lpstr>'Gear &amp; Contacts'!Print_Area</vt:lpstr>
      <vt:lpstr>'Sources &amp; Notes'!Print_Area</vt:lpstr>
      <vt:lpstr>Core!Print_Titles</vt:lpstr>
      <vt:lpstr>'Gear &amp; Contacts'!Print_Titles</vt:lpstr>
      <vt:lpstr>'Sources &amp; Notes'!Print_Titles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Henry</cp:lastModifiedBy>
  <cp:lastPrinted>2026-03-15T15:33:42Z</cp:lastPrinted>
  <dcterms:created xsi:type="dcterms:W3CDTF">2026-03-14T20:09:20Z</dcterms:created>
  <dcterms:modified xsi:type="dcterms:W3CDTF">2026-03-27T20:42:57Z</dcterms:modified>
</cp:coreProperties>
</file>